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assi\job-search-analytics\data\"/>
    </mc:Choice>
  </mc:AlternateContent>
  <xr:revisionPtr revIDLastSave="0" documentId="13_ncr:1_{F7304FDD-037A-4973-834D-48B63E6A9DB2}" xr6:coauthVersionLast="47" xr6:coauthVersionMax="47" xr10:uidLastSave="{00000000-0000-0000-0000-000000000000}"/>
  <bookViews>
    <workbookView xWindow="-108" yWindow="-108" windowWidth="23256" windowHeight="13176" xr2:uid="{CAA645E2-DF17-4657-914C-F65452DF32D8}"/>
  </bookViews>
  <sheets>
    <sheet name="Applications" sheetId="1" r:id="rId1"/>
  </sheets>
  <definedNames>
    <definedName name="_xlnm._FilterDatabase" localSheetId="0" hidden="1">Applications!$A$1:$K$29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9" i="1" l="1"/>
  <c r="A28" i="1"/>
  <c r="A27" i="1"/>
  <c r="A26" i="1"/>
  <c r="A25" i="1"/>
  <c r="A24" i="1"/>
  <c r="A23" i="1"/>
  <c r="A22" i="1"/>
  <c r="A21" i="1"/>
  <c r="A20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</calcChain>
</file>

<file path=xl/sharedStrings.xml><?xml version="1.0" encoding="utf-8"?>
<sst xmlns="http://schemas.openxmlformats.org/spreadsheetml/2006/main" count="186" uniqueCount="64">
  <si>
    <t>ID</t>
  </si>
  <si>
    <t>Entreprise</t>
  </si>
  <si>
    <t>Poste</t>
  </si>
  <si>
    <t>Lieu</t>
  </si>
  <si>
    <t>Date_Candidature</t>
  </si>
  <si>
    <t>Source</t>
  </si>
  <si>
    <t>Statut</t>
  </si>
  <si>
    <t>Date_reponse</t>
  </si>
  <si>
    <t>Relance</t>
  </si>
  <si>
    <t>Notes</t>
  </si>
  <si>
    <t>Dassault Systèmes</t>
  </si>
  <si>
    <t>Valeo</t>
  </si>
  <si>
    <t>Oxand</t>
  </si>
  <si>
    <t>Data Scientist</t>
  </si>
  <si>
    <t>Velizy-Villacoublay</t>
  </si>
  <si>
    <t>Cergy-Pontoise</t>
  </si>
  <si>
    <t>Paris</t>
  </si>
  <si>
    <t>Envoyé</t>
  </si>
  <si>
    <t>LinkedIn</t>
  </si>
  <si>
    <t>Secteur</t>
  </si>
  <si>
    <t>IT</t>
  </si>
  <si>
    <t>Industrie</t>
  </si>
  <si>
    <t>GRDF</t>
  </si>
  <si>
    <t>Entretien</t>
  </si>
  <si>
    <t>Energie</t>
  </si>
  <si>
    <t>Saint-Denis</t>
  </si>
  <si>
    <t>Refus</t>
  </si>
  <si>
    <t>Sephora</t>
  </si>
  <si>
    <t>Data Analyst</t>
  </si>
  <si>
    <t>Linkedin</t>
  </si>
  <si>
    <t>Retail</t>
  </si>
  <si>
    <t>Thales</t>
  </si>
  <si>
    <t>Meudon</t>
  </si>
  <si>
    <t>Telecom</t>
  </si>
  <si>
    <t>Green Yellow</t>
  </si>
  <si>
    <t>MBDA</t>
  </si>
  <si>
    <t>Le Plessis-Robinson</t>
  </si>
  <si>
    <t>Gennevilliers</t>
  </si>
  <si>
    <t>Guyancourt</t>
  </si>
  <si>
    <t>RTE</t>
  </si>
  <si>
    <t>La Défense</t>
  </si>
  <si>
    <t>Construction</t>
  </si>
  <si>
    <t>Capgemini</t>
  </si>
  <si>
    <t>Issy-les-Moulineaux</t>
  </si>
  <si>
    <t>Dior</t>
  </si>
  <si>
    <t>Renault</t>
  </si>
  <si>
    <t>Luxe</t>
  </si>
  <si>
    <t>Automobile</t>
  </si>
  <si>
    <t>Chanel</t>
  </si>
  <si>
    <t>Louis Vuitton</t>
  </si>
  <si>
    <t>Bouygues</t>
  </si>
  <si>
    <t>Safran</t>
  </si>
  <si>
    <t>Accenture</t>
  </si>
  <si>
    <t>Massy</t>
  </si>
  <si>
    <t>Aéronautique</t>
  </si>
  <si>
    <t>#REF</t>
  </si>
  <si>
    <t>Data Scientist Junior</t>
  </si>
  <si>
    <t>Ingénieur Data &amp; développeur BI</t>
  </si>
  <si>
    <t>Ingénieur en science des données CATIA</t>
  </si>
  <si>
    <t>Développement d'algorithmes d'analyse de données de vol</t>
  </si>
  <si>
    <t>Moissy-Cramayel</t>
  </si>
  <si>
    <t>Corbeille-Essone</t>
  </si>
  <si>
    <t>Apprenti-e Data Analyst F/H</t>
  </si>
  <si>
    <t>Data Analyst Supply Chain MRO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</si>
</sst>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2" fillId="0" borderId="4" xfId="0" applyFont="1" applyBorder="1"/>
    <xf numFmtId="0" fontId="2" fillId="0" borderId="5" xfId="0" applyFont="1" applyBorder="1"/>
    <xf numFmtId="0" fontId="2" fillId="0" borderId="5" xfId="0" applyFont="1" applyBorder="1" applyAlignment="1">
      <alignment readingOrder="1"/>
    </xf>
    <xf numFmtId="0" fontId="2" fillId="0" borderId="6" xfId="0" applyFont="1" applyBorder="1"/>
    <xf numFmtId="0" fontId="0" fillId="0" borderId="7" xfId="0" applyNumberFormat="1" applyBorder="1"/>
    <xf numFmtId="0" fontId="0" fillId="0" borderId="5" xfId="0" applyBorder="1"/>
    <xf numFmtId="0" fontId="3" fillId="0" borderId="8" xfId="1" applyBorder="1" applyAlignment="1"/>
    <xf numFmtId="0" fontId="3" fillId="0" borderId="1" xfId="1" applyBorder="1"/>
    <xf numFmtId="0" fontId="3" fillId="0" borderId="8" xfId="1" applyBorder="1"/>
    <xf numFmtId="0" fontId="2" fillId="0" borderId="5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</cellXfs>
  <cellStyles count="2">
    <cellStyle name="Hyperlink" xfId="1" builtinId="8"/>
    <cellStyle name="Normal" xfId="0" builtinId="0"/>
  </cellStyles>
  <dxfs count="16">
    <dxf>
      <numFmt numFmtId="164" formatCode="yyyy\-mm\-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yyyy\-mm\-dd;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B28C6D-6477-43D9-B373-D8255AFA4F9E}" name="Table1" displayName="Table1" ref="A1:L29" totalsRowShown="0" headerRowDxfId="15" headerRowBorderDxfId="14" tableBorderDxfId="13" totalsRowBorderDxfId="12">
  <autoFilter ref="A1:L29" xr:uid="{A0B28C6D-6477-43D9-B373-D8255AFA4F9E}"/>
  <tableColumns count="12">
    <tableColumn id="1" xr3:uid="{F9F6E859-0E4E-4AB1-AB82-AE8C68095E3C}" name="ID" dataDxfId="11">
      <calculatedColumnFormula>ROW()-ROW(Table1[#Headers])</calculatedColumnFormula>
    </tableColumn>
    <tableColumn id="2" xr3:uid="{5AC9CDA5-8818-4959-80C1-F4CA3CDCFE9E}" name="Entreprise" dataDxfId="10"/>
    <tableColumn id="3" xr3:uid="{820BFA22-51B0-4843-AADB-9E5D1E0CD1AB}" name="Poste" dataDxfId="8"/>
    <tableColumn id="4" xr3:uid="{04D827DB-3217-4C69-B1C0-00AA2639625A}" name="Lieu" dataDxfId="7"/>
    <tableColumn id="5" xr3:uid="{37C391F2-9459-4E6F-91CB-FCC9DE5CE7AC}" name="Date_Candidature" dataDxfId="6"/>
    <tableColumn id="6" xr3:uid="{CF125D61-14E6-4A1C-B426-A9316483785F}" name="Source" dataDxfId="5"/>
    <tableColumn id="7" xr3:uid="{5E494642-05B8-44F7-BEEC-D3AB0412C070}" name="Statut" dataDxfId="4"/>
    <tableColumn id="8" xr3:uid="{FE6ED1E8-A124-4415-9932-0481A9E189D7}" name="Date_reponse" dataDxfId="0"/>
    <tableColumn id="9" xr3:uid="{2E05DE79-3F14-4817-9F22-5BC14AA187B7}" name="Relance" dataDxfId="3"/>
    <tableColumn id="10" xr3:uid="{A711714D-3A92-4105-B404-C89598D2444C}" name="Notes" dataDxfId="2"/>
    <tableColumn id="11" xr3:uid="{EC7DC286-2B37-4A16-929D-FA4B107DAA5E}" name="Secteur" dataDxfId="1"/>
    <tableColumn id="12" xr3:uid="{FD78B42C-76B8-438B-809F-071A743F09A7}" name="#REF" dataDxfId="9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www.3ds.com/careers/jobs/apprentissage-ingenieur-data-developpeur-bi-f-h-547446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3ds.com/careers/jobs/apprentissage-data-scientist-junior-f-h-547493?src=SNS-102" TargetMode="External"/><Relationship Id="rId1" Type="http://schemas.openxmlformats.org/officeDocument/2006/relationships/hyperlink" Target="https://safran.profils.org/offre-de-emploi/emploi-alternant-e-developpement-d-algorithmes-d-analyse-de-donnees-de-vol-f-h_178490.aspx" TargetMode="External"/><Relationship Id="rId6" Type="http://schemas.openxmlformats.org/officeDocument/2006/relationships/hyperlink" Target="https://safran.profils.org/offre-de-emploi/apprenti-e-data-analyst-f-h_178300.aspx" TargetMode="External"/><Relationship Id="rId5" Type="http://schemas.openxmlformats.org/officeDocument/2006/relationships/hyperlink" Target="https://www.aerocontact.com/stage-aeronautique/alternance-data-analyst-supply-chain-mro-fh~1116046.html?fromref=linkedin" TargetMode="External"/><Relationship Id="rId4" Type="http://schemas.openxmlformats.org/officeDocument/2006/relationships/hyperlink" Target="https://www.3ds.com/careers/jobs/apprentissage-ingenieur-en-science-des-donnees-catia-f-h-5475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FD5C4-7F7C-4C2A-B1FC-7A3004547902}">
  <dimension ref="A1:L29"/>
  <sheetViews>
    <sheetView tabSelected="1" topLeftCell="A6" zoomScaleNormal="100" workbookViewId="0">
      <selection activeCell="L31" sqref="L31"/>
    </sheetView>
  </sheetViews>
  <sheetFormatPr defaultRowHeight="14.4" x14ac:dyDescent="0.3"/>
  <cols>
    <col min="2" max="2" width="19.88671875" bestFit="1" customWidth="1"/>
    <col min="3" max="3" width="12.109375" bestFit="1" customWidth="1"/>
    <col min="4" max="4" width="17.33203125" bestFit="1" customWidth="1"/>
    <col min="5" max="5" width="12.109375" customWidth="1"/>
    <col min="6" max="6" width="9" bestFit="1" customWidth="1"/>
    <col min="7" max="7" width="8.44140625" bestFit="1" customWidth="1"/>
    <col min="8" max="8" width="11.109375" customWidth="1"/>
    <col min="9" max="9" width="12.44140625" bestFit="1" customWidth="1"/>
    <col min="10" max="10" width="7.77734375" customWidth="1"/>
    <col min="11" max="11" width="11.44140625" bestFit="1" customWidth="1"/>
    <col min="12" max="12" width="49.44140625" bestFit="1" customWidth="1"/>
  </cols>
  <sheetData>
    <row r="1" spans="1:12" x14ac:dyDescent="0.3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6" t="s">
        <v>8</v>
      </c>
      <c r="J1" s="6" t="s">
        <v>9</v>
      </c>
      <c r="K1" s="8" t="s">
        <v>19</v>
      </c>
      <c r="L1" s="14" t="s">
        <v>55</v>
      </c>
    </row>
    <row r="2" spans="1:12" x14ac:dyDescent="0.3">
      <c r="A2" s="2">
        <f>ROW()-ROW(Table1[#Headers])</f>
        <v>1</v>
      </c>
      <c r="B2" s="1" t="s">
        <v>22</v>
      </c>
      <c r="C2" s="15" t="s">
        <v>13</v>
      </c>
      <c r="D2" s="15" t="s">
        <v>25</v>
      </c>
      <c r="E2" s="16">
        <v>46106</v>
      </c>
      <c r="F2" s="15" t="s">
        <v>18</v>
      </c>
      <c r="G2" s="15" t="s">
        <v>23</v>
      </c>
      <c r="H2" s="16">
        <v>46113</v>
      </c>
      <c r="I2" s="15">
        <v>1</v>
      </c>
      <c r="J2" s="15"/>
      <c r="K2" s="18" t="s">
        <v>24</v>
      </c>
      <c r="L2" s="10"/>
    </row>
    <row r="3" spans="1:12" x14ac:dyDescent="0.3">
      <c r="A3" s="2">
        <f>ROW()-ROW(Table1[#Headers])</f>
        <v>2</v>
      </c>
      <c r="B3" s="1" t="s">
        <v>11</v>
      </c>
      <c r="C3" s="15" t="s">
        <v>13</v>
      </c>
      <c r="D3" s="15" t="s">
        <v>15</v>
      </c>
      <c r="E3" s="16">
        <v>46136</v>
      </c>
      <c r="F3" s="15" t="s">
        <v>18</v>
      </c>
      <c r="G3" s="15" t="s">
        <v>17</v>
      </c>
      <c r="H3" s="16"/>
      <c r="I3" s="15">
        <v>0</v>
      </c>
      <c r="J3" s="15"/>
      <c r="K3" s="18" t="s">
        <v>21</v>
      </c>
      <c r="L3" s="1"/>
    </row>
    <row r="4" spans="1:12" x14ac:dyDescent="0.3">
      <c r="A4" s="2">
        <f>ROW()-ROW(Table1[#Headers])</f>
        <v>3</v>
      </c>
      <c r="B4" s="1" t="s">
        <v>12</v>
      </c>
      <c r="C4" s="15" t="s">
        <v>13</v>
      </c>
      <c r="D4" s="15" t="s">
        <v>16</v>
      </c>
      <c r="E4" s="16">
        <v>46136</v>
      </c>
      <c r="F4" s="15" t="s">
        <v>18</v>
      </c>
      <c r="G4" s="15" t="s">
        <v>26</v>
      </c>
      <c r="H4" s="16">
        <v>46139</v>
      </c>
      <c r="I4" s="15">
        <v>0</v>
      </c>
      <c r="J4" s="15"/>
      <c r="K4" s="18" t="s">
        <v>20</v>
      </c>
      <c r="L4" s="1"/>
    </row>
    <row r="5" spans="1:12" x14ac:dyDescent="0.3">
      <c r="A5" s="3">
        <f>ROW()-ROW(Table1[#Headers])</f>
        <v>4</v>
      </c>
      <c r="B5" s="4" t="s">
        <v>10</v>
      </c>
      <c r="C5" s="19" t="s">
        <v>13</v>
      </c>
      <c r="D5" s="19" t="s">
        <v>14</v>
      </c>
      <c r="E5" s="17">
        <v>46136</v>
      </c>
      <c r="F5" s="19" t="s">
        <v>18</v>
      </c>
      <c r="G5" s="19" t="s">
        <v>17</v>
      </c>
      <c r="H5" s="16"/>
      <c r="I5" s="19">
        <v>0</v>
      </c>
      <c r="J5" s="19"/>
      <c r="K5" s="20" t="s">
        <v>20</v>
      </c>
      <c r="L5" s="12" t="s">
        <v>56</v>
      </c>
    </row>
    <row r="6" spans="1:12" x14ac:dyDescent="0.3">
      <c r="A6" s="3">
        <f>ROW()-ROW(Table1[#Headers])</f>
        <v>5</v>
      </c>
      <c r="B6" s="4" t="s">
        <v>27</v>
      </c>
      <c r="C6" s="19" t="s">
        <v>28</v>
      </c>
      <c r="D6" s="19" t="s">
        <v>16</v>
      </c>
      <c r="E6" s="17">
        <v>46140</v>
      </c>
      <c r="F6" s="19" t="s">
        <v>29</v>
      </c>
      <c r="G6" s="19" t="s">
        <v>17</v>
      </c>
      <c r="H6" s="16"/>
      <c r="I6" s="19">
        <v>0</v>
      </c>
      <c r="J6" s="19"/>
      <c r="K6" s="20" t="s">
        <v>30</v>
      </c>
      <c r="L6" s="1"/>
    </row>
    <row r="7" spans="1:12" x14ac:dyDescent="0.3">
      <c r="A7" s="3">
        <f>ROW()-ROW(Table1[#Headers])</f>
        <v>6</v>
      </c>
      <c r="B7" s="4" t="s">
        <v>31</v>
      </c>
      <c r="C7" s="19" t="s">
        <v>28</v>
      </c>
      <c r="D7" s="19" t="s">
        <v>14</v>
      </c>
      <c r="E7" s="17">
        <v>46140</v>
      </c>
      <c r="F7" s="19" t="s">
        <v>29</v>
      </c>
      <c r="G7" s="19" t="s">
        <v>17</v>
      </c>
      <c r="H7" s="16"/>
      <c r="I7" s="19">
        <v>0</v>
      </c>
      <c r="J7" s="19"/>
      <c r="K7" s="20" t="s">
        <v>20</v>
      </c>
      <c r="L7" s="1"/>
    </row>
    <row r="8" spans="1:12" x14ac:dyDescent="0.3">
      <c r="A8" s="3">
        <f>ROW()-ROW(Table1[#Headers])</f>
        <v>7</v>
      </c>
      <c r="B8" s="4" t="s">
        <v>50</v>
      </c>
      <c r="C8" s="19" t="s">
        <v>28</v>
      </c>
      <c r="D8" s="19" t="s">
        <v>32</v>
      </c>
      <c r="E8" s="17">
        <v>46140</v>
      </c>
      <c r="F8" s="19" t="s">
        <v>29</v>
      </c>
      <c r="G8" s="19" t="s">
        <v>17</v>
      </c>
      <c r="H8" s="16"/>
      <c r="I8" s="19">
        <v>0</v>
      </c>
      <c r="J8" s="19"/>
      <c r="K8" s="20" t="s">
        <v>33</v>
      </c>
      <c r="L8" s="1"/>
    </row>
    <row r="9" spans="1:12" x14ac:dyDescent="0.3">
      <c r="A9" s="3">
        <f>ROW()-ROW(Table1[#Headers])</f>
        <v>8</v>
      </c>
      <c r="B9" s="4" t="s">
        <v>34</v>
      </c>
      <c r="C9" s="19" t="s">
        <v>13</v>
      </c>
      <c r="D9" s="19" t="s">
        <v>16</v>
      </c>
      <c r="E9" s="17">
        <v>46140</v>
      </c>
      <c r="F9" s="19" t="s">
        <v>18</v>
      </c>
      <c r="G9" s="19" t="s">
        <v>23</v>
      </c>
      <c r="H9" s="16">
        <v>46142</v>
      </c>
      <c r="I9" s="19">
        <v>0</v>
      </c>
      <c r="J9" s="19"/>
      <c r="K9" s="20" t="s">
        <v>24</v>
      </c>
      <c r="L9" s="1"/>
    </row>
    <row r="10" spans="1:12" x14ac:dyDescent="0.3">
      <c r="A10" s="3">
        <f>ROW()-ROW(Table1[#Headers])</f>
        <v>9</v>
      </c>
      <c r="B10" s="4" t="s">
        <v>35</v>
      </c>
      <c r="C10" s="19" t="s">
        <v>13</v>
      </c>
      <c r="D10" s="19" t="s">
        <v>36</v>
      </c>
      <c r="E10" s="17">
        <v>46146</v>
      </c>
      <c r="F10" s="19" t="s">
        <v>18</v>
      </c>
      <c r="G10" s="19" t="s">
        <v>26</v>
      </c>
      <c r="H10" s="16">
        <v>46147</v>
      </c>
      <c r="I10" s="19">
        <v>0</v>
      </c>
      <c r="J10" s="19"/>
      <c r="K10" s="20" t="s">
        <v>20</v>
      </c>
      <c r="L10" s="1"/>
    </row>
    <row r="11" spans="1:12" x14ac:dyDescent="0.3">
      <c r="A11" s="3">
        <f>ROW()-ROW(Table1[#Headers])</f>
        <v>10</v>
      </c>
      <c r="B11" s="4" t="s">
        <v>31</v>
      </c>
      <c r="C11" s="19" t="s">
        <v>13</v>
      </c>
      <c r="D11" s="19" t="s">
        <v>37</v>
      </c>
      <c r="E11" s="17">
        <v>46146</v>
      </c>
      <c r="F11" s="19" t="s">
        <v>18</v>
      </c>
      <c r="G11" s="19" t="s">
        <v>17</v>
      </c>
      <c r="H11" s="16"/>
      <c r="I11" s="19">
        <v>0</v>
      </c>
      <c r="J11" s="19"/>
      <c r="K11" s="20" t="s">
        <v>20</v>
      </c>
      <c r="L11" s="1"/>
    </row>
    <row r="12" spans="1:12" x14ac:dyDescent="0.3">
      <c r="A12" s="3">
        <f>ROW()-ROW(Table1[#Headers])</f>
        <v>11</v>
      </c>
      <c r="B12" s="4" t="s">
        <v>31</v>
      </c>
      <c r="C12" s="19" t="s">
        <v>13</v>
      </c>
      <c r="D12" s="19" t="s">
        <v>32</v>
      </c>
      <c r="E12" s="17">
        <v>46146</v>
      </c>
      <c r="F12" s="19" t="s">
        <v>18</v>
      </c>
      <c r="G12" s="19" t="s">
        <v>17</v>
      </c>
      <c r="H12" s="16"/>
      <c r="I12" s="19">
        <v>0</v>
      </c>
      <c r="J12" s="19"/>
      <c r="K12" s="20" t="s">
        <v>20</v>
      </c>
      <c r="L12" s="1"/>
    </row>
    <row r="13" spans="1:12" x14ac:dyDescent="0.3">
      <c r="A13" s="3">
        <f>ROW()-ROW(Table1[#Headers])</f>
        <v>12</v>
      </c>
      <c r="B13" s="4" t="s">
        <v>50</v>
      </c>
      <c r="C13" s="19" t="s">
        <v>13</v>
      </c>
      <c r="D13" s="19" t="s">
        <v>38</v>
      </c>
      <c r="E13" s="17">
        <v>46146</v>
      </c>
      <c r="F13" s="19" t="s">
        <v>18</v>
      </c>
      <c r="G13" s="19" t="s">
        <v>17</v>
      </c>
      <c r="H13" s="16"/>
      <c r="I13" s="19">
        <v>0</v>
      </c>
      <c r="J13" s="19"/>
      <c r="K13" s="20" t="s">
        <v>41</v>
      </c>
      <c r="L13" s="1"/>
    </row>
    <row r="14" spans="1:12" x14ac:dyDescent="0.3">
      <c r="A14" s="3">
        <f>ROW()-ROW(Table1[#Headers])</f>
        <v>13</v>
      </c>
      <c r="B14" s="4" t="s">
        <v>39</v>
      </c>
      <c r="C14" s="19" t="s">
        <v>13</v>
      </c>
      <c r="D14" s="19" t="s">
        <v>40</v>
      </c>
      <c r="E14" s="17">
        <v>46146</v>
      </c>
      <c r="F14" s="19" t="s">
        <v>18</v>
      </c>
      <c r="G14" s="19" t="s">
        <v>17</v>
      </c>
      <c r="H14" s="16"/>
      <c r="I14" s="19">
        <v>0</v>
      </c>
      <c r="J14" s="19"/>
      <c r="K14" s="20" t="s">
        <v>20</v>
      </c>
      <c r="L14" s="1"/>
    </row>
    <row r="15" spans="1:12" x14ac:dyDescent="0.3">
      <c r="A15" s="3">
        <f>ROW()-ROW(Table1[#Headers])</f>
        <v>14</v>
      </c>
      <c r="B15" s="4" t="s">
        <v>42</v>
      </c>
      <c r="C15" s="19" t="s">
        <v>13</v>
      </c>
      <c r="D15" s="19" t="s">
        <v>43</v>
      </c>
      <c r="E15" s="17">
        <v>46146</v>
      </c>
      <c r="F15" s="19" t="s">
        <v>18</v>
      </c>
      <c r="G15" s="19" t="s">
        <v>17</v>
      </c>
      <c r="H15" s="16"/>
      <c r="I15" s="19">
        <v>0</v>
      </c>
      <c r="J15" s="19"/>
      <c r="K15" s="20" t="s">
        <v>20</v>
      </c>
      <c r="L15" s="1"/>
    </row>
    <row r="16" spans="1:12" x14ac:dyDescent="0.3">
      <c r="A16" s="3">
        <f>ROW()-ROW(Table1[#Headers])</f>
        <v>15</v>
      </c>
      <c r="B16" s="4" t="s">
        <v>44</v>
      </c>
      <c r="C16" s="19" t="s">
        <v>28</v>
      </c>
      <c r="D16" s="19" t="s">
        <v>16</v>
      </c>
      <c r="E16" s="17">
        <v>46146</v>
      </c>
      <c r="F16" s="19" t="s">
        <v>18</v>
      </c>
      <c r="G16" s="19" t="s">
        <v>17</v>
      </c>
      <c r="H16" s="16"/>
      <c r="I16" s="19">
        <v>0</v>
      </c>
      <c r="J16" s="19"/>
      <c r="K16" s="20" t="s">
        <v>46</v>
      </c>
      <c r="L16" s="1"/>
    </row>
    <row r="17" spans="1:12" x14ac:dyDescent="0.3">
      <c r="A17" s="3">
        <f>ROW()-ROW(Table1[#Headers])</f>
        <v>16</v>
      </c>
      <c r="B17" s="4" t="s">
        <v>45</v>
      </c>
      <c r="C17" s="19" t="s">
        <v>13</v>
      </c>
      <c r="D17" s="19" t="s">
        <v>38</v>
      </c>
      <c r="E17" s="17">
        <v>46146</v>
      </c>
      <c r="F17" s="19" t="s">
        <v>18</v>
      </c>
      <c r="G17" s="19" t="s">
        <v>17</v>
      </c>
      <c r="H17" s="16"/>
      <c r="I17" s="19">
        <v>0</v>
      </c>
      <c r="J17" s="19"/>
      <c r="K17" s="20" t="s">
        <v>47</v>
      </c>
      <c r="L17" s="1"/>
    </row>
    <row r="18" spans="1:12" x14ac:dyDescent="0.3">
      <c r="A18" s="3">
        <f>ROW()-ROW(Table1[#Headers])</f>
        <v>17</v>
      </c>
      <c r="B18" s="4" t="s">
        <v>48</v>
      </c>
      <c r="C18" s="19" t="s">
        <v>28</v>
      </c>
      <c r="D18" s="19" t="s">
        <v>16</v>
      </c>
      <c r="E18" s="17">
        <v>46146</v>
      </c>
      <c r="F18" s="19" t="s">
        <v>18</v>
      </c>
      <c r="G18" s="19" t="s">
        <v>17</v>
      </c>
      <c r="H18" s="16"/>
      <c r="I18" s="19">
        <v>0</v>
      </c>
      <c r="J18" s="19"/>
      <c r="K18" s="20" t="s">
        <v>46</v>
      </c>
      <c r="L18" s="1"/>
    </row>
    <row r="19" spans="1:12" x14ac:dyDescent="0.3">
      <c r="A19" s="3">
        <f>ROW()-ROW(Table1[#Headers])</f>
        <v>18</v>
      </c>
      <c r="B19" s="4" t="s">
        <v>49</v>
      </c>
      <c r="C19" s="19" t="s">
        <v>28</v>
      </c>
      <c r="D19" s="19" t="s">
        <v>16</v>
      </c>
      <c r="E19" s="17">
        <v>46146</v>
      </c>
      <c r="F19" s="19" t="s">
        <v>18</v>
      </c>
      <c r="G19" s="19" t="s">
        <v>17</v>
      </c>
      <c r="H19" s="16"/>
      <c r="I19" s="19">
        <v>0</v>
      </c>
      <c r="J19" s="19"/>
      <c r="K19" s="20" t="s">
        <v>46</v>
      </c>
      <c r="L19" s="1"/>
    </row>
    <row r="20" spans="1:12" x14ac:dyDescent="0.3">
      <c r="A20" s="9">
        <f>ROW()-ROW(Table1[#Headers])</f>
        <v>19</v>
      </c>
      <c r="B20" s="4" t="s">
        <v>51</v>
      </c>
      <c r="C20" s="19" t="s">
        <v>13</v>
      </c>
      <c r="D20" s="19" t="s">
        <v>14</v>
      </c>
      <c r="E20" s="17">
        <v>46147</v>
      </c>
      <c r="F20" s="19" t="s">
        <v>18</v>
      </c>
      <c r="G20" s="19" t="s">
        <v>17</v>
      </c>
      <c r="H20" s="16"/>
      <c r="I20" s="19">
        <v>0</v>
      </c>
      <c r="J20" s="19"/>
      <c r="K20" s="20" t="s">
        <v>54</v>
      </c>
      <c r="L20" s="1"/>
    </row>
    <row r="21" spans="1:12" x14ac:dyDescent="0.3">
      <c r="A21" s="9">
        <f>ROW()-ROW(Table1[#Headers])</f>
        <v>20</v>
      </c>
      <c r="B21" s="4" t="s">
        <v>31</v>
      </c>
      <c r="C21" s="19" t="s">
        <v>28</v>
      </c>
      <c r="D21" s="19" t="s">
        <v>14</v>
      </c>
      <c r="E21" s="17">
        <v>46147</v>
      </c>
      <c r="F21" s="19" t="s">
        <v>18</v>
      </c>
      <c r="G21" s="19" t="s">
        <v>17</v>
      </c>
      <c r="H21" s="16"/>
      <c r="I21" s="19">
        <v>0</v>
      </c>
      <c r="J21" s="19"/>
      <c r="K21" s="20" t="s">
        <v>20</v>
      </c>
      <c r="L21" s="1"/>
    </row>
    <row r="22" spans="1:12" x14ac:dyDescent="0.3">
      <c r="A22" s="9">
        <f>ROW()-ROW(Table1[#Headers])</f>
        <v>21</v>
      </c>
      <c r="B22" s="4" t="s">
        <v>50</v>
      </c>
      <c r="C22" s="19" t="s">
        <v>28</v>
      </c>
      <c r="D22" s="19" t="s">
        <v>32</v>
      </c>
      <c r="E22" s="17">
        <v>46147</v>
      </c>
      <c r="F22" s="19" t="s">
        <v>18</v>
      </c>
      <c r="G22" s="19" t="s">
        <v>17</v>
      </c>
      <c r="H22" s="16"/>
      <c r="I22" s="19">
        <v>0</v>
      </c>
      <c r="J22" s="19"/>
      <c r="K22" s="20" t="s">
        <v>33</v>
      </c>
      <c r="L22" s="1"/>
    </row>
    <row r="23" spans="1:12" x14ac:dyDescent="0.3">
      <c r="A23" s="9">
        <f>ROW()-ROW(Table1[#Headers])</f>
        <v>22</v>
      </c>
      <c r="B23" s="4" t="s">
        <v>35</v>
      </c>
      <c r="C23" s="19" t="s">
        <v>28</v>
      </c>
      <c r="D23" s="19" t="s">
        <v>36</v>
      </c>
      <c r="E23" s="17">
        <v>46147</v>
      </c>
      <c r="F23" s="19" t="s">
        <v>18</v>
      </c>
      <c r="G23" s="19" t="s">
        <v>17</v>
      </c>
      <c r="H23" s="16"/>
      <c r="I23" s="19">
        <v>0</v>
      </c>
      <c r="J23" s="19"/>
      <c r="K23" s="20" t="s">
        <v>20</v>
      </c>
      <c r="L23" s="1"/>
    </row>
    <row r="24" spans="1:12" x14ac:dyDescent="0.3">
      <c r="A24" s="9">
        <f>ROW()-ROW(Table1[#Headers])</f>
        <v>23</v>
      </c>
      <c r="B24" s="4" t="s">
        <v>52</v>
      </c>
      <c r="C24" s="19" t="s">
        <v>28</v>
      </c>
      <c r="D24" s="19" t="s">
        <v>16</v>
      </c>
      <c r="E24" s="17">
        <v>46147</v>
      </c>
      <c r="F24" s="19" t="s">
        <v>18</v>
      </c>
      <c r="G24" s="19" t="s">
        <v>17</v>
      </c>
      <c r="H24" s="16"/>
      <c r="I24" s="19">
        <v>0</v>
      </c>
      <c r="J24" s="19"/>
      <c r="K24" s="20" t="s">
        <v>20</v>
      </c>
      <c r="L24" s="1"/>
    </row>
    <row r="25" spans="1:12" x14ac:dyDescent="0.3">
      <c r="A25" s="9">
        <f>ROW()-ROW(Table1[#Headers])</f>
        <v>24</v>
      </c>
      <c r="B25" s="4" t="s">
        <v>51</v>
      </c>
      <c r="C25" s="19" t="s">
        <v>13</v>
      </c>
      <c r="D25" s="19" t="s">
        <v>53</v>
      </c>
      <c r="E25" s="17">
        <v>46147</v>
      </c>
      <c r="F25" s="19" t="s">
        <v>18</v>
      </c>
      <c r="G25" s="19" t="s">
        <v>17</v>
      </c>
      <c r="H25" s="16"/>
      <c r="I25" s="19">
        <v>0</v>
      </c>
      <c r="J25" s="19"/>
      <c r="K25" s="20" t="s">
        <v>54</v>
      </c>
      <c r="L25" s="11" t="s">
        <v>59</v>
      </c>
    </row>
    <row r="26" spans="1:12" x14ac:dyDescent="0.3">
      <c r="A26" s="9">
        <f>ROW()-ROW(Table1[#Headers])</f>
        <v>25</v>
      </c>
      <c r="B26" s="4" t="s">
        <v>10</v>
      </c>
      <c r="C26" s="19" t="s">
        <v>13</v>
      </c>
      <c r="D26" s="19" t="s">
        <v>14</v>
      </c>
      <c r="E26" s="17">
        <v>46147</v>
      </c>
      <c r="F26" s="19" t="s">
        <v>18</v>
      </c>
      <c r="G26" s="19" t="s">
        <v>17</v>
      </c>
      <c r="H26" s="16"/>
      <c r="I26" s="19">
        <v>0</v>
      </c>
      <c r="J26" s="19"/>
      <c r="K26" s="20" t="s">
        <v>20</v>
      </c>
      <c r="L26" s="13" t="s">
        <v>58</v>
      </c>
    </row>
    <row r="27" spans="1:12" x14ac:dyDescent="0.3">
      <c r="A27" s="9">
        <f>ROW()-ROW(Table1[#Headers])</f>
        <v>26</v>
      </c>
      <c r="B27" s="4" t="s">
        <v>10</v>
      </c>
      <c r="C27" s="19" t="s">
        <v>28</v>
      </c>
      <c r="D27" s="19" t="s">
        <v>14</v>
      </c>
      <c r="E27" s="17">
        <v>46147</v>
      </c>
      <c r="F27" s="19" t="s">
        <v>18</v>
      </c>
      <c r="G27" s="19" t="s">
        <v>17</v>
      </c>
      <c r="H27" s="16"/>
      <c r="I27" s="19">
        <v>0</v>
      </c>
      <c r="J27" s="19"/>
      <c r="K27" s="20" t="s">
        <v>20</v>
      </c>
      <c r="L27" s="13" t="s">
        <v>57</v>
      </c>
    </row>
    <row r="28" spans="1:12" x14ac:dyDescent="0.3">
      <c r="A28" s="9">
        <f>ROW()-ROW(Table1[#Headers])</f>
        <v>27</v>
      </c>
      <c r="B28" s="4" t="s">
        <v>51</v>
      </c>
      <c r="C28" s="19" t="s">
        <v>28</v>
      </c>
      <c r="D28" s="19" t="s">
        <v>60</v>
      </c>
      <c r="E28" s="17">
        <v>46147</v>
      </c>
      <c r="F28" s="19" t="s">
        <v>18</v>
      </c>
      <c r="G28" s="19" t="s">
        <v>17</v>
      </c>
      <c r="H28" s="17"/>
      <c r="I28" s="19">
        <v>0</v>
      </c>
      <c r="J28" s="19"/>
      <c r="K28" s="19" t="s">
        <v>54</v>
      </c>
      <c r="L28" s="13" t="s">
        <v>63</v>
      </c>
    </row>
    <row r="29" spans="1:12" x14ac:dyDescent="0.3">
      <c r="A29" s="9">
        <f>ROW()-ROW(Table1[#Headers])</f>
        <v>28</v>
      </c>
      <c r="B29" s="4" t="s">
        <v>51</v>
      </c>
      <c r="C29" s="19" t="s">
        <v>28</v>
      </c>
      <c r="D29" s="19" t="s">
        <v>61</v>
      </c>
      <c r="E29" s="17">
        <v>46147</v>
      </c>
      <c r="F29" s="19" t="s">
        <v>18</v>
      </c>
      <c r="G29" s="19" t="s">
        <v>17</v>
      </c>
      <c r="H29" s="17"/>
      <c r="I29" s="19">
        <v>0</v>
      </c>
      <c r="J29" s="19"/>
      <c r="K29" s="19" t="s">
        <v>54</v>
      </c>
      <c r="L29" s="13" t="s">
        <v>62</v>
      </c>
    </row>
  </sheetData>
  <sortState xmlns:xlrd2="http://schemas.microsoft.com/office/spreadsheetml/2017/richdata2" ref="A2:K5">
    <sortCondition ref="A1:A5"/>
  </sortState>
  <phoneticPr fontId="1" type="noConversion"/>
  <hyperlinks>
    <hyperlink ref="L25" r:id="rId1" display="Poste" xr:uid="{F55B037D-DFDB-4933-AA1F-2955D88E257B}"/>
    <hyperlink ref="L5" r:id="rId2" xr:uid="{6F4433D6-A790-4F49-92F4-3AA5D963591D}"/>
    <hyperlink ref="L27" r:id="rId3" xr:uid="{E655547D-C443-4928-839C-ADD896D196AA}"/>
    <hyperlink ref="L26" r:id="rId4" xr:uid="{98DB469C-D4D4-4D24-A43E-313E372FF5EB}"/>
    <hyperlink ref="L28" r:id="rId5" display=" Data Analyst Supply Chain MRO" xr:uid="{8698C37C-D41E-42D6-A7F2-71328C34E490}"/>
    <hyperlink ref="L29" r:id="rId6" xr:uid="{EBAC8C9D-7E30-407B-A87D-90AA4FA25628}"/>
  </hyperlinks>
  <pageMargins left="0.7" right="0.7" top="0.75" bottom="0.75" header="0.3" footer="0.3"/>
  <pageSetup paperSize="0" orientation="portrait" horizontalDpi="203" verticalDpi="203" r:id="rId7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Applications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Yassine Hakam</dc:creator>
  <cp:lastModifiedBy>Yassine Hakam</cp:lastModifiedBy>
  <dcterms:created xsi:type="dcterms:W3CDTF">2026-04-24T13:29:39Z</dcterms:created>
  <dcterms:modified xsi:type="dcterms:W3CDTF">2026-05-05T17:05:52Z</dcterms:modified>
</cp:coreProperties>
</file>