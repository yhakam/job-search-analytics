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ssi\job-search-analytics\data\"/>
    </mc:Choice>
  </mc:AlternateContent>
  <xr:revisionPtr revIDLastSave="0" documentId="13_ncr:1_{A5944807-7713-4401-9FC3-DA1B6E62A7BF}" xr6:coauthVersionLast="47" xr6:coauthVersionMax="47" xr10:uidLastSave="{00000000-0000-0000-0000-000000000000}"/>
  <bookViews>
    <workbookView xWindow="-108" yWindow="-108" windowWidth="23256" windowHeight="13176" xr2:uid="{CAA645E2-DF17-4657-914C-F65452DF32D8}"/>
  </bookViews>
  <sheets>
    <sheet name="Applications" sheetId="1" r:id="rId1"/>
  </sheets>
  <definedNames>
    <definedName name="_xlnm._FilterDatabase" localSheetId="0" hidden="1">Applications!$A$1:$K$19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</calcChain>
</file>

<file path=xl/sharedStrings.xml><?xml version="1.0" encoding="utf-8"?>
<sst xmlns="http://schemas.openxmlformats.org/spreadsheetml/2006/main" count="119" uniqueCount="51">
  <si>
    <t>ID</t>
  </si>
  <si>
    <t>Entreprise</t>
  </si>
  <si>
    <t>Poste</t>
  </si>
  <si>
    <t>Lieu</t>
  </si>
  <si>
    <t>Date_Candidature</t>
  </si>
  <si>
    <t>Source</t>
  </si>
  <si>
    <t>Statut</t>
  </si>
  <si>
    <t>Date_reponse</t>
  </si>
  <si>
    <t>Relance</t>
  </si>
  <si>
    <t>Notes</t>
  </si>
  <si>
    <t>Dassault Systèmes</t>
  </si>
  <si>
    <t>Valeo</t>
  </si>
  <si>
    <t>Oxand</t>
  </si>
  <si>
    <t>Data Scientist</t>
  </si>
  <si>
    <t>Velizy-Villacoublay</t>
  </si>
  <si>
    <t>Cergy-Pontoise</t>
  </si>
  <si>
    <t>Paris</t>
  </si>
  <si>
    <t>Envoyé</t>
  </si>
  <si>
    <t>LinkedIn</t>
  </si>
  <si>
    <t>Secteur</t>
  </si>
  <si>
    <t>IT</t>
  </si>
  <si>
    <t>Industrie</t>
  </si>
  <si>
    <t>GRDF</t>
  </si>
  <si>
    <t>Entretien</t>
  </si>
  <si>
    <t>Energie</t>
  </si>
  <si>
    <t>Saint-Denis</t>
  </si>
  <si>
    <t>Refus</t>
  </si>
  <si>
    <t>Sephora</t>
  </si>
  <si>
    <t>Data Analyst</t>
  </si>
  <si>
    <t>Linkedin</t>
  </si>
  <si>
    <t>Retail</t>
  </si>
  <si>
    <t>Thales</t>
  </si>
  <si>
    <t>Meudon</t>
  </si>
  <si>
    <t>Telecom</t>
  </si>
  <si>
    <t>Green Yellow</t>
  </si>
  <si>
    <t>MBDA</t>
  </si>
  <si>
    <t>Le Plessis-Robinson</t>
  </si>
  <si>
    <t>Gennevilliers</t>
  </si>
  <si>
    <t>Guyancourt</t>
  </si>
  <si>
    <t>RTE</t>
  </si>
  <si>
    <t>La Défense</t>
  </si>
  <si>
    <t>Construction</t>
  </si>
  <si>
    <t>Capgemini</t>
  </si>
  <si>
    <t>Issy-les-Moulineaux</t>
  </si>
  <si>
    <t>Dior</t>
  </si>
  <si>
    <t>Renault</t>
  </si>
  <si>
    <t>Luxe</t>
  </si>
  <si>
    <t>Automobile</t>
  </si>
  <si>
    <t>Chanel</t>
  </si>
  <si>
    <t>Louis Vuitton</t>
  </si>
  <si>
    <t>Bouygues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</si>
</sst>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164" fontId="0" fillId="0" borderId="8" xfId="0" applyNumberFormat="1" applyBorder="1"/>
    <xf numFmtId="0" fontId="0" fillId="0" borderId="9" xfId="0" applyBorder="1"/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readingOrder="1"/>
    </xf>
    <xf numFmtId="0" fontId="2" fillId="0" borderId="6" xfId="0" applyFont="1" applyBorder="1"/>
    <xf numFmtId="164" fontId="0" fillId="0" borderId="0" xfId="0" applyNumberFormat="1"/>
    <xf numFmtId="164" fontId="0" fillId="0" borderId="0" xfId="0" applyNumberFormat="1" applyBorder="1"/>
  </cellXfs>
  <cellStyles count="1">
    <cellStyle name="Normal" xfId="0" builtinId="0"/>
  </cellStyles>
  <dxfs count="15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B28C6D-6477-43D9-B373-D8255AFA4F9E}" name="Table1" displayName="Table1" ref="A1:K19" totalsRowShown="0" headerRowDxfId="14" headerRowBorderDxfId="12" tableBorderDxfId="13" totalsRowBorderDxfId="11">
  <autoFilter ref="A1:K19" xr:uid="{A0B28C6D-6477-43D9-B373-D8255AFA4F9E}"/>
  <tableColumns count="11">
    <tableColumn id="1" xr3:uid="{F9F6E859-0E4E-4AB1-AB82-AE8C68095E3C}" name="ID" dataDxfId="10">
      <calculatedColumnFormula>ROW()-ROW(Table1[#Headers])</calculatedColumnFormula>
    </tableColumn>
    <tableColumn id="2" xr3:uid="{5AC9CDA5-8818-4959-80C1-F4CA3CDCFE9E}" name="Entreprise" dataDxfId="9"/>
    <tableColumn id="3" xr3:uid="{820BFA22-51B0-4843-AADB-9E5D1E0CD1AB}" name="Poste" dataDxfId="8"/>
    <tableColumn id="4" xr3:uid="{04D827DB-3217-4C69-B1C0-00AA2639625A}" name="Lieu" dataDxfId="7"/>
    <tableColumn id="5" xr3:uid="{37C391F2-9459-4E6F-91CB-FCC9DE5CE7AC}" name="Date_Candidature" dataDxfId="6"/>
    <tableColumn id="6" xr3:uid="{CF125D61-14E6-4A1C-B426-A9316483785F}" name="Source" dataDxfId="5"/>
    <tableColumn id="7" xr3:uid="{5E494642-05B8-44F7-BEEC-D3AB0412C070}" name="Statut" dataDxfId="4"/>
    <tableColumn id="8" xr3:uid="{FE6ED1E8-A124-4415-9932-0481A9E189D7}" name="Date_reponse" dataDxfId="3"/>
    <tableColumn id="9" xr3:uid="{2E05DE79-3F14-4817-9F22-5BC14AA187B7}" name="Relance" dataDxfId="2"/>
    <tableColumn id="10" xr3:uid="{A711714D-3A92-4105-B404-C89598D2444C}" name="Notes" dataDxfId="1"/>
    <tableColumn id="11" xr3:uid="{EC7DC286-2B37-4A16-929D-FA4B107DAA5E}" name="Secteur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D5C4-7F7C-4C2A-B1FC-7A3004547902}">
  <dimension ref="A1:K19"/>
  <sheetViews>
    <sheetView tabSelected="1" workbookViewId="0">
      <selection activeCell="K22" sqref="K22"/>
    </sheetView>
  </sheetViews>
  <sheetFormatPr defaultRowHeight="14.4" x14ac:dyDescent="0.3"/>
  <cols>
    <col min="2" max="2" width="19.88671875" bestFit="1" customWidth="1"/>
    <col min="3" max="3" width="12.109375" bestFit="1" customWidth="1"/>
    <col min="4" max="4" width="16.21875" bestFit="1" customWidth="1"/>
    <col min="5" max="5" width="18.109375" customWidth="1"/>
    <col min="6" max="6" width="8.6640625" customWidth="1"/>
    <col min="7" max="7" width="8.44140625" bestFit="1" customWidth="1"/>
    <col min="8" max="8" width="14.5546875" customWidth="1"/>
    <col min="9" max="9" width="12.44140625" bestFit="1" customWidth="1"/>
    <col min="10" max="10" width="7.77734375" customWidth="1"/>
    <col min="11" max="11" width="11.44140625" bestFit="1" customWidth="1"/>
  </cols>
  <sheetData>
    <row r="1" spans="1:11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0" t="s">
        <v>8</v>
      </c>
      <c r="J1" s="10" t="s">
        <v>9</v>
      </c>
      <c r="K1" s="12" t="s">
        <v>19</v>
      </c>
    </row>
    <row r="2" spans="1:11" x14ac:dyDescent="0.3">
      <c r="A2" s="3">
        <f>ROW()-ROW(Table1[#Headers])</f>
        <v>1</v>
      </c>
      <c r="B2" s="1" t="s">
        <v>22</v>
      </c>
      <c r="C2" s="1" t="s">
        <v>13</v>
      </c>
      <c r="D2" s="1" t="s">
        <v>25</v>
      </c>
      <c r="E2" s="2">
        <v>46106</v>
      </c>
      <c r="F2" s="1" t="s">
        <v>18</v>
      </c>
      <c r="G2" s="1" t="s">
        <v>23</v>
      </c>
      <c r="H2" s="2">
        <v>46113</v>
      </c>
      <c r="I2" s="1">
        <v>1</v>
      </c>
      <c r="J2" s="1"/>
      <c r="K2" s="4" t="s">
        <v>24</v>
      </c>
    </row>
    <row r="3" spans="1:11" x14ac:dyDescent="0.3">
      <c r="A3" s="3">
        <f>ROW()-ROW(Table1[#Headers])</f>
        <v>2</v>
      </c>
      <c r="B3" s="1" t="s">
        <v>11</v>
      </c>
      <c r="C3" s="1" t="s">
        <v>13</v>
      </c>
      <c r="D3" s="1" t="s">
        <v>15</v>
      </c>
      <c r="E3" s="2">
        <v>46136</v>
      </c>
      <c r="F3" s="1" t="s">
        <v>18</v>
      </c>
      <c r="G3" s="1" t="s">
        <v>17</v>
      </c>
      <c r="H3" s="2"/>
      <c r="I3" s="1">
        <v>0</v>
      </c>
      <c r="J3" s="1"/>
      <c r="K3" s="4" t="s">
        <v>21</v>
      </c>
    </row>
    <row r="4" spans="1:11" x14ac:dyDescent="0.3">
      <c r="A4" s="3">
        <f>ROW()-ROW(Table1[#Headers])</f>
        <v>3</v>
      </c>
      <c r="B4" s="1" t="s">
        <v>12</v>
      </c>
      <c r="C4" s="1" t="s">
        <v>13</v>
      </c>
      <c r="D4" s="1" t="s">
        <v>16</v>
      </c>
      <c r="E4" s="2">
        <v>46136</v>
      </c>
      <c r="F4" s="1" t="s">
        <v>18</v>
      </c>
      <c r="G4" s="1" t="s">
        <v>26</v>
      </c>
      <c r="H4" s="2">
        <v>46139</v>
      </c>
      <c r="I4" s="1">
        <v>0</v>
      </c>
      <c r="J4" s="1"/>
      <c r="K4" s="4" t="s">
        <v>20</v>
      </c>
    </row>
    <row r="5" spans="1:11" x14ac:dyDescent="0.3">
      <c r="A5" s="5">
        <f>ROW()-ROW(Table1[#Headers])</f>
        <v>4</v>
      </c>
      <c r="B5" s="6" t="s">
        <v>10</v>
      </c>
      <c r="C5" s="6" t="s">
        <v>13</v>
      </c>
      <c r="D5" s="6" t="s">
        <v>14</v>
      </c>
      <c r="E5" s="7">
        <v>46136</v>
      </c>
      <c r="F5" s="6" t="s">
        <v>18</v>
      </c>
      <c r="G5" s="6" t="s">
        <v>17</v>
      </c>
      <c r="H5" s="7"/>
      <c r="I5" s="6">
        <v>0</v>
      </c>
      <c r="J5" s="6"/>
      <c r="K5" s="8" t="s">
        <v>20</v>
      </c>
    </row>
    <row r="6" spans="1:11" x14ac:dyDescent="0.3">
      <c r="A6" s="5">
        <f>ROW()-ROW(Table1[#Headers])</f>
        <v>5</v>
      </c>
      <c r="B6" s="6" t="s">
        <v>27</v>
      </c>
      <c r="C6" s="6" t="s">
        <v>28</v>
      </c>
      <c r="D6" s="6" t="s">
        <v>16</v>
      </c>
      <c r="E6" s="7">
        <v>46140</v>
      </c>
      <c r="F6" s="6" t="s">
        <v>29</v>
      </c>
      <c r="G6" s="6" t="s">
        <v>17</v>
      </c>
      <c r="H6" s="13"/>
      <c r="I6" s="6">
        <v>0</v>
      </c>
      <c r="J6" s="6"/>
      <c r="K6" s="8" t="s">
        <v>30</v>
      </c>
    </row>
    <row r="7" spans="1:11" x14ac:dyDescent="0.3">
      <c r="A7" s="5">
        <f>ROW()-ROW(Table1[#Headers])</f>
        <v>6</v>
      </c>
      <c r="B7" s="6" t="s">
        <v>31</v>
      </c>
      <c r="C7" s="6" t="s">
        <v>28</v>
      </c>
      <c r="D7" s="6" t="s">
        <v>14</v>
      </c>
      <c r="E7" s="7">
        <v>46140</v>
      </c>
      <c r="F7" s="6" t="s">
        <v>29</v>
      </c>
      <c r="G7" s="6" t="s">
        <v>17</v>
      </c>
      <c r="H7" s="13"/>
      <c r="I7" s="6">
        <v>0</v>
      </c>
      <c r="J7" s="6"/>
      <c r="K7" s="8" t="s">
        <v>20</v>
      </c>
    </row>
    <row r="8" spans="1:11" x14ac:dyDescent="0.3">
      <c r="A8" s="5">
        <f>ROW()-ROW(Table1[#Headers])</f>
        <v>7</v>
      </c>
      <c r="B8" s="6" t="s">
        <v>50</v>
      </c>
      <c r="C8" s="6" t="s">
        <v>28</v>
      </c>
      <c r="D8" s="6" t="s">
        <v>32</v>
      </c>
      <c r="E8" s="7">
        <v>46140</v>
      </c>
      <c r="F8" s="6" t="s">
        <v>29</v>
      </c>
      <c r="G8" s="6" t="s">
        <v>17</v>
      </c>
      <c r="H8" s="13"/>
      <c r="I8" s="6">
        <v>0</v>
      </c>
      <c r="J8" s="6"/>
      <c r="K8" s="8" t="s">
        <v>33</v>
      </c>
    </row>
    <row r="9" spans="1:11" x14ac:dyDescent="0.3">
      <c r="A9" s="5">
        <f>ROW()-ROW(Table1[#Headers])</f>
        <v>8</v>
      </c>
      <c r="B9" s="6" t="s">
        <v>34</v>
      </c>
      <c r="C9" s="6" t="s">
        <v>13</v>
      </c>
      <c r="D9" s="6" t="s">
        <v>16</v>
      </c>
      <c r="E9" s="7">
        <v>46140</v>
      </c>
      <c r="F9" s="6" t="s">
        <v>18</v>
      </c>
      <c r="G9" s="6" t="s">
        <v>23</v>
      </c>
      <c r="H9" s="13">
        <v>46142</v>
      </c>
      <c r="I9" s="6">
        <v>0</v>
      </c>
      <c r="J9" s="6"/>
      <c r="K9" s="8" t="s">
        <v>24</v>
      </c>
    </row>
    <row r="10" spans="1:11" x14ac:dyDescent="0.3">
      <c r="A10" s="5">
        <f>ROW()-ROW(Table1[#Headers])</f>
        <v>9</v>
      </c>
      <c r="B10" s="6" t="s">
        <v>35</v>
      </c>
      <c r="C10" s="6" t="s">
        <v>13</v>
      </c>
      <c r="D10" s="6" t="s">
        <v>36</v>
      </c>
      <c r="E10" s="7">
        <v>46146</v>
      </c>
      <c r="F10" s="6" t="s">
        <v>18</v>
      </c>
      <c r="G10" s="6" t="s">
        <v>17</v>
      </c>
      <c r="H10" s="14"/>
      <c r="I10" s="6">
        <v>0</v>
      </c>
      <c r="J10" s="6"/>
      <c r="K10" s="8" t="s">
        <v>20</v>
      </c>
    </row>
    <row r="11" spans="1:11" x14ac:dyDescent="0.3">
      <c r="A11" s="5">
        <f>ROW()-ROW(Table1[#Headers])</f>
        <v>10</v>
      </c>
      <c r="B11" s="6" t="s">
        <v>31</v>
      </c>
      <c r="C11" s="6" t="s">
        <v>13</v>
      </c>
      <c r="D11" s="6" t="s">
        <v>37</v>
      </c>
      <c r="E11" s="7">
        <v>46146</v>
      </c>
      <c r="F11" s="6" t="s">
        <v>18</v>
      </c>
      <c r="G11" s="6" t="s">
        <v>17</v>
      </c>
      <c r="H11" s="14"/>
      <c r="I11" s="6">
        <v>0</v>
      </c>
      <c r="J11" s="6"/>
      <c r="K11" s="8" t="s">
        <v>20</v>
      </c>
    </row>
    <row r="12" spans="1:11" x14ac:dyDescent="0.3">
      <c r="A12" s="5">
        <f>ROW()-ROW(Table1[#Headers])</f>
        <v>11</v>
      </c>
      <c r="B12" s="6" t="s">
        <v>31</v>
      </c>
      <c r="C12" s="6" t="s">
        <v>13</v>
      </c>
      <c r="D12" s="6" t="s">
        <v>32</v>
      </c>
      <c r="E12" s="7">
        <v>46146</v>
      </c>
      <c r="F12" s="6" t="s">
        <v>18</v>
      </c>
      <c r="G12" s="6" t="s">
        <v>17</v>
      </c>
      <c r="H12" s="14"/>
      <c r="I12" s="6">
        <v>0</v>
      </c>
      <c r="J12" s="6"/>
      <c r="K12" s="8" t="s">
        <v>20</v>
      </c>
    </row>
    <row r="13" spans="1:11" x14ac:dyDescent="0.3">
      <c r="A13" s="5">
        <f>ROW()-ROW(Table1[#Headers])</f>
        <v>12</v>
      </c>
      <c r="B13" s="6" t="s">
        <v>50</v>
      </c>
      <c r="C13" s="6" t="s">
        <v>13</v>
      </c>
      <c r="D13" s="6" t="s">
        <v>38</v>
      </c>
      <c r="E13" s="7">
        <v>46146</v>
      </c>
      <c r="F13" s="6" t="s">
        <v>18</v>
      </c>
      <c r="G13" s="6" t="s">
        <v>17</v>
      </c>
      <c r="H13" s="14"/>
      <c r="I13" s="6">
        <v>0</v>
      </c>
      <c r="J13" s="6"/>
      <c r="K13" s="8" t="s">
        <v>41</v>
      </c>
    </row>
    <row r="14" spans="1:11" x14ac:dyDescent="0.3">
      <c r="A14" s="5">
        <f>ROW()-ROW(Table1[#Headers])</f>
        <v>13</v>
      </c>
      <c r="B14" s="6" t="s">
        <v>39</v>
      </c>
      <c r="C14" s="6" t="s">
        <v>13</v>
      </c>
      <c r="D14" s="6" t="s">
        <v>40</v>
      </c>
      <c r="E14" s="7">
        <v>46146</v>
      </c>
      <c r="F14" s="6" t="s">
        <v>18</v>
      </c>
      <c r="G14" s="6" t="s">
        <v>17</v>
      </c>
      <c r="H14" s="14"/>
      <c r="I14" s="6">
        <v>0</v>
      </c>
      <c r="J14" s="6"/>
      <c r="K14" s="8" t="s">
        <v>20</v>
      </c>
    </row>
    <row r="15" spans="1:11" x14ac:dyDescent="0.3">
      <c r="A15" s="5">
        <f>ROW()-ROW(Table1[#Headers])</f>
        <v>14</v>
      </c>
      <c r="B15" s="6" t="s">
        <v>42</v>
      </c>
      <c r="C15" s="6" t="s">
        <v>13</v>
      </c>
      <c r="D15" s="6" t="s">
        <v>43</v>
      </c>
      <c r="E15" s="7">
        <v>46146</v>
      </c>
      <c r="F15" s="6" t="s">
        <v>18</v>
      </c>
      <c r="G15" s="6" t="s">
        <v>17</v>
      </c>
      <c r="H15" s="14"/>
      <c r="I15" s="6">
        <v>0</v>
      </c>
      <c r="J15" s="6"/>
      <c r="K15" s="8" t="s">
        <v>20</v>
      </c>
    </row>
    <row r="16" spans="1:11" x14ac:dyDescent="0.3">
      <c r="A16" s="5">
        <f>ROW()-ROW(Table1[#Headers])</f>
        <v>15</v>
      </c>
      <c r="B16" s="6" t="s">
        <v>44</v>
      </c>
      <c r="C16" s="6" t="s">
        <v>28</v>
      </c>
      <c r="D16" s="6" t="s">
        <v>16</v>
      </c>
      <c r="E16" s="7">
        <v>46146</v>
      </c>
      <c r="F16" s="6" t="s">
        <v>18</v>
      </c>
      <c r="G16" s="6" t="s">
        <v>17</v>
      </c>
      <c r="H16" s="14"/>
      <c r="I16" s="6">
        <v>0</v>
      </c>
      <c r="J16" s="6"/>
      <c r="K16" s="8" t="s">
        <v>46</v>
      </c>
    </row>
    <row r="17" spans="1:11" x14ac:dyDescent="0.3">
      <c r="A17" s="5">
        <f>ROW()-ROW(Table1[#Headers])</f>
        <v>16</v>
      </c>
      <c r="B17" s="6" t="s">
        <v>45</v>
      </c>
      <c r="C17" s="6" t="s">
        <v>13</v>
      </c>
      <c r="D17" s="6" t="s">
        <v>38</v>
      </c>
      <c r="E17" s="7">
        <v>46146</v>
      </c>
      <c r="F17" s="6" t="s">
        <v>18</v>
      </c>
      <c r="G17" s="6" t="s">
        <v>17</v>
      </c>
      <c r="H17" s="14"/>
      <c r="I17" s="6">
        <v>0</v>
      </c>
      <c r="J17" s="6"/>
      <c r="K17" s="8" t="s">
        <v>47</v>
      </c>
    </row>
    <row r="18" spans="1:11" x14ac:dyDescent="0.3">
      <c r="A18" s="5">
        <f>ROW()-ROW(Table1[#Headers])</f>
        <v>17</v>
      </c>
      <c r="B18" s="6" t="s">
        <v>48</v>
      </c>
      <c r="C18" s="6" t="s">
        <v>28</v>
      </c>
      <c r="D18" s="6" t="s">
        <v>16</v>
      </c>
      <c r="E18" s="7">
        <v>46146</v>
      </c>
      <c r="F18" s="6" t="s">
        <v>18</v>
      </c>
      <c r="G18" s="6" t="s">
        <v>17</v>
      </c>
      <c r="H18" s="14"/>
      <c r="I18" s="6">
        <v>0</v>
      </c>
      <c r="J18" s="6"/>
      <c r="K18" s="8" t="s">
        <v>46</v>
      </c>
    </row>
    <row r="19" spans="1:11" x14ac:dyDescent="0.3">
      <c r="A19" s="5">
        <f>ROW()-ROW(Table1[#Headers])</f>
        <v>18</v>
      </c>
      <c r="B19" s="6" t="s">
        <v>49</v>
      </c>
      <c r="C19" s="6" t="s">
        <v>28</v>
      </c>
      <c r="D19" s="6" t="s">
        <v>16</v>
      </c>
      <c r="E19" s="7">
        <v>46146</v>
      </c>
      <c r="F19" s="6" t="s">
        <v>18</v>
      </c>
      <c r="G19" s="6" t="s">
        <v>17</v>
      </c>
      <c r="H19" s="14"/>
      <c r="I19" s="6">
        <v>0</v>
      </c>
      <c r="J19" s="6"/>
      <c r="K19" s="8" t="s">
        <v>46</v>
      </c>
    </row>
  </sheetData>
  <sortState xmlns:xlrd2="http://schemas.microsoft.com/office/spreadsheetml/2017/richdata2" ref="A2:K5">
    <sortCondition ref="A1:A5"/>
  </sortState>
  <phoneticPr fontId="1" type="noConversion"/>
  <pageMargins left="0.7" right="0.7" top="0.75" bottom="0.75" header="0.3" footer="0.3"/>
  <pageSetup paperSize="0" orientation="portrait" horizontalDpi="203" verticalDpi="20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Applications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Yassine Hakam</dc:creator>
  <cp:lastModifiedBy>Yassine Hakam</cp:lastModifiedBy>
  <dcterms:created xsi:type="dcterms:W3CDTF">2026-04-24T13:29:39Z</dcterms:created>
  <dcterms:modified xsi:type="dcterms:W3CDTF">2026-05-04T15:26:35Z</dcterms:modified>
</cp:coreProperties>
</file>